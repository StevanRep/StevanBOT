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Temp\"/>
    </mc:Choice>
  </mc:AlternateContent>
  <xr:revisionPtr revIDLastSave="0" documentId="13_ncr:1_{423EB14A-1454-4971-AAA5-A54556E555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7" i="1" l="1"/>
  <c r="G25" i="1"/>
  <c r="G24" i="1"/>
  <c r="G23" i="1"/>
  <c r="G30" i="1" l="1"/>
  <c r="G31" i="1" s="1"/>
  <c r="B28" i="1" s="1"/>
</calcChain>
</file>

<file path=xl/sharedStrings.xml><?xml version="1.0" encoding="utf-8"?>
<sst xmlns="http://schemas.openxmlformats.org/spreadsheetml/2006/main" count="27" uniqueCount="27">
  <si>
    <t>SALES REPORT</t>
  </si>
  <si>
    <t>ID VENDOR</t>
  </si>
  <si>
    <t>DATE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</si>
  <si>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</si>
  <si>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</si>
  <si>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</si>
  <si>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</si>
  <si>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</si>
  <si>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</si>
  <si>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</si>
  <si>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</si>
  <si>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</si>
  <si>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</si>
  <si>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</si>
  <si>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RU567434</t>
  </si>
  <si>
    <t>05/05/2026</t>
  </si>
  <si>
    <t>SAN MIGUEL FOODS, INC</t>
  </si>
  <si>
    <t>Rua Boa Vista 185</t>
  </si>
  <si>
    <t>Centro, São Paulo - SP</t>
  </si>
  <si>
    <t>345-844-3332</t>
  </si>
  <si>
    <t>san.miguel.foods.inc@mail.com</t>
  </si>
  <si>
    <t>700257 / Beverages and Catering</t>
  </si>
  <si>
    <t>982763 / Waste management services</t>
  </si>
  <si>
    <t>526408 / Concierge Services</t>
  </si>
  <si>
    <t>696770 / Concierge Services</t>
  </si>
  <si>
    <t>160970 / Waste management services</t>
  </si>
  <si>
    <t>Please, GENERATE INVOICES by 10/05/2026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</si>
</sst>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shrinkToFit="1"/>
    </xf>
    <xf numFmtId="164" fontId="13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5" fontId="13" fillId="0" borderId="1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13" fillId="3" borderId="11" xfId="0" applyFont="1" applyFill="1" applyBorder="1" applyAlignment="1">
      <alignment horizontal="center" vertical="center" shrinkToFit="1"/>
    </xf>
    <xf numFmtId="166" fontId="13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66" fontId="5" fillId="3" borderId="11" xfId="0" applyNumberFormat="1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167" fontId="16" fillId="3" borderId="11" xfId="0" applyNumberFormat="1" applyFont="1" applyFill="1" applyBorder="1" applyAlignment="1">
      <alignment horizontal="center" vertical="center" shrinkToFit="1"/>
    </xf>
    <xf numFmtId="167" fontId="17" fillId="3" borderId="11" xfId="0" applyNumberFormat="1" applyFont="1" applyFill="1" applyBorder="1" applyAlignment="1">
      <alignment horizontal="center" vertical="center" shrinkToFit="1"/>
    </xf>
    <xf numFmtId="165" fontId="3" fillId="3" borderId="11" xfId="0" applyNumberFormat="1" applyFont="1" applyFill="1" applyBorder="1" applyAlignment="1">
      <alignment horizontal="center" vertical="center" shrinkToFit="1"/>
    </xf>
    <xf numFmtId="165" fontId="18" fillId="3" borderId="14" xfId="0" applyNumberFormat="1" applyFont="1" applyFill="1" applyBorder="1" applyAlignment="1">
      <alignment horizontal="center" vertical="top" shrinkToFit="1"/>
    </xf>
    <xf numFmtId="0" fontId="2" fillId="0" borderId="15" xfId="0" applyFont="1" applyBorder="1" applyAlignment="1">
      <alignment horizontal="center" shrinkToFit="1"/>
    </xf>
    <xf numFmtId="9" fontId="3" fillId="3" borderId="11" xfId="0" applyNumberFormat="1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top" shrinkToFit="1"/>
    </xf>
    <xf numFmtId="0" fontId="0" fillId="0" borderId="0" xfId="0" applyFont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0" fontId="2" fillId="0" borderId="21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  <pageSetUpPr fitToPage="1"/>
  </sheetPr>
  <dimension ref="A1:Z1000"/>
  <sheetViews>
    <sheetView showGridLines="0" tabSelected="1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2.7109375" bestFit="1" customWidth="1"/>
    <col min="3" max="3" width="10.42578125" bestFit="1" customWidth="1"/>
    <col min="4" max="4" width="16.5703125" bestFit="1" customWidth="1"/>
    <col min="5" max="5" width="10.140625" bestFit="1" customWidth="1"/>
    <col min="6" max="6" width="3.42578125" customWidth="1"/>
    <col min="7" max="7" width="15.85546875" bestFit="1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26" t="s">
        <v>0</v>
      </c>
      <c r="B1" s="27"/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/>
      <c r="B2" s="30"/>
      <c r="C2" s="30"/>
      <c r="D2" s="30"/>
      <c r="E2" s="30"/>
      <c r="F2" s="30"/>
      <c r="G2" s="30"/>
      <c r="H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29"/>
      <c r="B3" s="30"/>
      <c r="C3" s="30"/>
      <c r="D3" s="30"/>
      <c r="E3" s="30"/>
      <c r="F3" s="30"/>
      <c r="G3" s="30"/>
      <c r="H3" s="3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32"/>
      <c r="B4" s="33"/>
      <c r="C4" s="33"/>
      <c r="D4" s="33"/>
      <c r="E4" s="33"/>
      <c r="F4" s="33"/>
      <c r="G4" s="33"/>
      <c r="H4" s="34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14</v>
      </c>
      <c r="C7" s="7" t="s">
        <v>15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35" t="s">
        <v>17</v>
      </c>
      <c r="C10" s="30"/>
      <c r="D10" s="35"/>
      <c r="E10" s="30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18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19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20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36" t="s">
        <v>3</v>
      </c>
      <c r="C16" s="37"/>
      <c r="D16" s="16" t="s">
        <v>4</v>
      </c>
      <c r="E16" s="38" t="s">
        <v>5</v>
      </c>
      <c r="F16" s="37"/>
      <c r="G16" s="16" t="s">
        <v>6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39"/>
      <c r="D17" s="30"/>
      <c r="E17" s="30"/>
      <c r="F17" s="30"/>
      <c r="G17" s="3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43" t="s">
        <v>21</v>
      </c>
      <c r="C18" s="44"/>
      <c r="D18" s="45">
        <v>63387.11</v>
      </c>
      <c r="E18" s="46">
        <v>8</v>
      </c>
      <c r="F18" s="44"/>
      <c r="G18" s="45">
        <v>507096.89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7"/>
      <c r="B19" s="43" t="s">
        <v>22</v>
      </c>
      <c r="C19" s="44"/>
      <c r="D19" s="47">
        <v>51584.11</v>
      </c>
      <c r="E19" s="46">
        <v>7</v>
      </c>
      <c r="F19" s="44"/>
      <c r="G19" s="45">
        <v>361088.79</v>
      </c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43" t="s">
        <v>23</v>
      </c>
      <c r="C20" s="44"/>
      <c r="D20" s="47">
        <v>281988.26</v>
      </c>
      <c r="E20" s="46">
        <v>5</v>
      </c>
      <c r="F20" s="44"/>
      <c r="G20" s="45">
        <v>1409941.31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43" t="s">
        <v>24</v>
      </c>
      <c r="C21" s="44"/>
      <c r="D21" s="47">
        <v>214602.58</v>
      </c>
      <c r="E21" s="46">
        <v>8</v>
      </c>
      <c r="F21" s="44"/>
      <c r="G21" s="45">
        <v>1716820.67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43" t="s">
        <v>25</v>
      </c>
      <c r="C22" s="44"/>
      <c r="D22" s="47">
        <v>93156.62</v>
      </c>
      <c r="E22" s="46">
        <v>6</v>
      </c>
      <c r="F22" s="44"/>
      <c r="G22" s="45">
        <v>558939.69999999995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43"/>
      <c r="C23" s="44"/>
      <c r="D23" s="47">
        <v>0</v>
      </c>
      <c r="E23" s="46">
        <v>0</v>
      </c>
      <c r="F23" s="44"/>
      <c r="G23" s="45">
        <f t="shared" ref="G18:G25" si="0">D23*E23</f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43"/>
      <c r="C24" s="44"/>
      <c r="D24" s="47">
        <v>0</v>
      </c>
      <c r="E24" s="46">
        <v>0</v>
      </c>
      <c r="F24" s="44"/>
      <c r="G24" s="45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43"/>
      <c r="C25" s="44"/>
      <c r="D25" s="47">
        <v>0</v>
      </c>
      <c r="E25" s="46">
        <v>0</v>
      </c>
      <c r="F25" s="44"/>
      <c r="G25" s="45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48"/>
      <c r="C26" s="49"/>
      <c r="D26" s="50"/>
      <c r="E26" s="51"/>
      <c r="F26" s="51"/>
      <c r="G26" s="52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9"/>
      <c r="B27" s="53" t="s">
        <v>7</v>
      </c>
      <c r="C27" s="54"/>
      <c r="D27" s="54"/>
      <c r="E27" s="55" t="s">
        <v>8</v>
      </c>
      <c r="F27" s="56"/>
      <c r="G27" s="57">
        <f>SUM(G18:G25)</f>
        <v>4553887.3600000003</v>
      </c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9"/>
      <c r="B28" s="58">
        <f>G31</f>
        <v>4303423.551</v>
      </c>
      <c r="C28" s="54"/>
      <c r="D28" s="54"/>
      <c r="E28" s="55" t="s">
        <v>9</v>
      </c>
      <c r="F28" s="56"/>
      <c r="G28" s="57">
        <v>455388.74</v>
      </c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"/>
      <c r="B29" s="59"/>
      <c r="C29" s="54"/>
      <c r="D29" s="54"/>
      <c r="E29" s="55" t="s">
        <v>10</v>
      </c>
      <c r="F29" s="56"/>
      <c r="G29" s="60">
        <v>0.05</v>
      </c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"/>
      <c r="B30" s="61"/>
      <c r="C30" s="54"/>
      <c r="D30" s="54"/>
      <c r="E30" s="55" t="s">
        <v>11</v>
      </c>
      <c r="F30" s="56"/>
      <c r="G30" s="57">
        <f>(G27-G28)*G29</f>
        <v>204924.93100000001</v>
      </c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"/>
      <c r="B31" s="61"/>
      <c r="C31" s="54"/>
      <c r="D31" s="54"/>
      <c r="E31" s="55" t="s">
        <v>12</v>
      </c>
      <c r="F31" s="56"/>
      <c r="G31" s="57">
        <f>G27-G28+G30</f>
        <v>4303423.551</v>
      </c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62"/>
      <c r="C32" s="62"/>
      <c r="D32" s="62"/>
      <c r="E32" s="62"/>
      <c r="F32" s="62"/>
      <c r="G32" s="6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1"/>
      <c r="B33" s="62"/>
      <c r="C33" s="62"/>
      <c r="D33" s="62"/>
      <c r="E33" s="62"/>
      <c r="F33" s="62"/>
      <c r="G33" s="6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/>
      <c r="B34" s="63" t="s">
        <v>13</v>
      </c>
      <c r="C34" s="62"/>
      <c r="D34" s="62"/>
      <c r="E34" s="62"/>
      <c r="F34" s="62"/>
      <c r="G34" s="62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3"/>
      <c r="B35" s="64" t="s">
        <v>26</v>
      </c>
      <c r="C35" s="65"/>
      <c r="D35" s="62"/>
      <c r="E35" s="62"/>
      <c r="F35" s="62"/>
      <c r="G35" s="62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3"/>
      <c r="B36" s="65"/>
      <c r="C36" s="65"/>
      <c r="D36" s="62"/>
      <c r="E36" s="62"/>
      <c r="F36" s="62"/>
      <c r="G36" s="62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23"/>
      <c r="B37" s="62"/>
      <c r="C37" s="62"/>
      <c r="D37" s="62"/>
      <c r="E37" s="62"/>
      <c r="F37" s="62"/>
      <c r="G37" s="62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40"/>
      <c r="B38" s="66"/>
      <c r="C38" s="66"/>
      <c r="D38" s="66"/>
      <c r="E38" s="66"/>
      <c r="F38" s="66"/>
      <c r="G38" s="66"/>
      <c r="H38" s="4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2"/>
      <c r="B39" s="67"/>
      <c r="C39" s="67"/>
      <c r="D39" s="67"/>
      <c r="E39" s="68"/>
      <c r="F39" s="69"/>
      <c r="G39" s="69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62"/>
      <c r="C40" s="62"/>
      <c r="D40" s="62"/>
      <c r="E40" s="62"/>
      <c r="F40" s="62"/>
      <c r="G40" s="6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62"/>
      <c r="C41" s="62"/>
      <c r="D41" s="62"/>
      <c r="E41" s="62"/>
      <c r="F41" s="62"/>
      <c r="G41" s="6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62"/>
      <c r="C42" s="62"/>
      <c r="D42" s="62"/>
      <c r="E42" s="62"/>
      <c r="F42" s="62"/>
      <c r="G42" s="6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62"/>
      <c r="C43" s="62"/>
      <c r="D43" s="62"/>
      <c r="E43" s="62"/>
      <c r="F43" s="62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62"/>
      <c r="C44" s="62"/>
      <c r="D44" s="62"/>
      <c r="E44" s="62"/>
      <c r="F44" s="62"/>
      <c r="G44" s="6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62"/>
      <c r="C45" s="62"/>
      <c r="D45" s="62"/>
      <c r="E45" s="62"/>
      <c r="F45" s="62"/>
      <c r="G45" s="6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62"/>
      <c r="C46" s="62"/>
      <c r="D46" s="62"/>
      <c r="E46" s="62"/>
      <c r="F46" s="62"/>
      <c r="G46" s="6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62"/>
      <c r="C47" s="62"/>
      <c r="D47" s="62"/>
      <c r="E47" s="62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62"/>
      <c r="C48" s="62"/>
      <c r="D48" s="62"/>
      <c r="E48" s="62"/>
      <c r="F48" s="62"/>
      <c r="G48" s="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62"/>
      <c r="C49" s="62"/>
      <c r="D49" s="62"/>
      <c r="E49" s="62"/>
      <c r="F49" s="62"/>
      <c r="G49" s="6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62"/>
      <c r="C50" s="62"/>
      <c r="D50" s="62"/>
      <c r="E50" s="62"/>
      <c r="F50" s="62"/>
      <c r="G50" s="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62"/>
      <c r="C51" s="62"/>
      <c r="D51" s="62"/>
      <c r="E51" s="62"/>
      <c r="F51" s="62"/>
      <c r="G51" s="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62"/>
      <c r="C52" s="62"/>
      <c r="D52" s="62"/>
      <c r="E52" s="62"/>
      <c r="F52" s="62"/>
      <c r="G52" s="6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62"/>
      <c r="C53" s="62"/>
      <c r="D53" s="62"/>
      <c r="E53" s="62"/>
      <c r="F53" s="62"/>
      <c r="G53" s="6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62"/>
      <c r="C54" s="62"/>
      <c r="D54" s="62"/>
      <c r="E54" s="62"/>
      <c r="F54" s="62"/>
      <c r="G54" s="6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62"/>
      <c r="C55" s="62"/>
      <c r="D55" s="62"/>
      <c r="E55" s="62"/>
      <c r="F55" s="62"/>
      <c r="G55" s="6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62"/>
      <c r="C56" s="62"/>
      <c r="D56" s="62"/>
      <c r="E56" s="62"/>
      <c r="F56" s="62"/>
      <c r="G56" s="6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62"/>
      <c r="C57" s="62"/>
      <c r="D57" s="62"/>
      <c r="E57" s="62"/>
      <c r="F57" s="62"/>
      <c r="G57" s="6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62"/>
      <c r="C58" s="62"/>
      <c r="D58" s="62"/>
      <c r="E58" s="62"/>
      <c r="F58" s="62"/>
      <c r="G58" s="6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62"/>
      <c r="C59" s="62"/>
      <c r="D59" s="62"/>
      <c r="E59" s="62"/>
      <c r="F59" s="62"/>
      <c r="G59" s="6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62"/>
      <c r="C60" s="62"/>
      <c r="D60" s="62"/>
      <c r="E60" s="62"/>
      <c r="F60" s="62"/>
      <c r="G60" s="6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62"/>
      <c r="C61" s="62"/>
      <c r="D61" s="62"/>
      <c r="E61" s="62"/>
      <c r="F61" s="62"/>
      <c r="G61" s="6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62"/>
      <c r="C62" s="62"/>
      <c r="D62" s="62"/>
      <c r="E62" s="62"/>
      <c r="F62" s="62"/>
      <c r="G62" s="6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62"/>
      <c r="C63" s="62"/>
      <c r="D63" s="62"/>
      <c r="E63" s="62"/>
      <c r="F63" s="62"/>
      <c r="G63" s="6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62"/>
      <c r="C64" s="62"/>
      <c r="D64" s="62"/>
      <c r="E64" s="62"/>
      <c r="F64" s="62"/>
      <c r="G64" s="6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62"/>
      <c r="C65" s="62"/>
      <c r="D65" s="62"/>
      <c r="E65" s="62"/>
      <c r="F65" s="62"/>
      <c r="G65" s="6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62"/>
      <c r="C66" s="62"/>
      <c r="D66" s="62"/>
      <c r="E66" s="62"/>
      <c r="F66" s="62"/>
      <c r="G66" s="6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62"/>
      <c r="C67" s="62"/>
      <c r="D67" s="62"/>
      <c r="E67" s="62"/>
      <c r="F67" s="62"/>
      <c r="G67" s="6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62"/>
      <c r="C68" s="62"/>
      <c r="D68" s="62"/>
      <c r="E68" s="62"/>
      <c r="F68" s="62"/>
      <c r="G68" s="6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62"/>
      <c r="C69" s="62"/>
      <c r="D69" s="62"/>
      <c r="E69" s="62"/>
      <c r="F69" s="62"/>
      <c r="G69" s="6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62"/>
      <c r="C70" s="62"/>
      <c r="D70" s="62"/>
      <c r="E70" s="62"/>
      <c r="F70" s="62"/>
      <c r="G70" s="6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62"/>
      <c r="C71" s="62"/>
      <c r="D71" s="62"/>
      <c r="E71" s="62"/>
      <c r="F71" s="62"/>
      <c r="G71" s="6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62"/>
      <c r="C72" s="62"/>
      <c r="D72" s="62"/>
      <c r="E72" s="62"/>
      <c r="F72" s="62"/>
      <c r="G72" s="6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62"/>
      <c r="C73" s="62"/>
      <c r="D73" s="62"/>
      <c r="E73" s="62"/>
      <c r="F73" s="62"/>
      <c r="G73" s="6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62"/>
      <c r="C74" s="62"/>
      <c r="D74" s="62"/>
      <c r="E74" s="62"/>
      <c r="F74" s="62"/>
      <c r="G74" s="6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62"/>
      <c r="C75" s="62"/>
      <c r="D75" s="62"/>
      <c r="E75" s="62"/>
      <c r="F75" s="62"/>
      <c r="G75" s="6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62"/>
      <c r="C76" s="62"/>
      <c r="D76" s="62"/>
      <c r="E76" s="62"/>
      <c r="F76" s="62"/>
      <c r="G76" s="6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62"/>
      <c r="C77" s="62"/>
      <c r="D77" s="62"/>
      <c r="E77" s="62"/>
      <c r="F77" s="62"/>
      <c r="G77" s="6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62"/>
      <c r="C78" s="62"/>
      <c r="D78" s="62"/>
      <c r="E78" s="62"/>
      <c r="F78" s="62"/>
      <c r="G78" s="6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62"/>
      <c r="C80" s="62"/>
      <c r="D80" s="62"/>
      <c r="E80" s="62"/>
      <c r="F80" s="62"/>
      <c r="G80" s="6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62"/>
      <c r="C81" s="62"/>
      <c r="D81" s="62"/>
      <c r="E81" s="62"/>
      <c r="F81" s="62"/>
      <c r="G81" s="6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62"/>
      <c r="C82" s="62"/>
      <c r="D82" s="62"/>
      <c r="E82" s="62"/>
      <c r="F82" s="62"/>
      <c r="G82" s="6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62"/>
      <c r="C83" s="62"/>
      <c r="D83" s="62"/>
      <c r="E83" s="62"/>
      <c r="F83" s="62"/>
      <c r="G83" s="6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62"/>
      <c r="C84" s="62"/>
      <c r="D84" s="62"/>
      <c r="E84" s="62"/>
      <c r="F84" s="62"/>
      <c r="G84" s="6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62"/>
      <c r="C85" s="62"/>
      <c r="D85" s="62"/>
      <c r="E85" s="62"/>
      <c r="F85" s="62"/>
      <c r="G85" s="6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62"/>
      <c r="C86" s="62"/>
      <c r="D86" s="62"/>
      <c r="E86" s="62"/>
      <c r="F86" s="62"/>
      <c r="G86" s="6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62"/>
      <c r="C87" s="62"/>
      <c r="D87" s="62"/>
      <c r="E87" s="62"/>
      <c r="F87" s="62"/>
      <c r="G87" s="6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62"/>
      <c r="C88" s="62"/>
      <c r="D88" s="62"/>
      <c r="E88" s="62"/>
      <c r="F88" s="62"/>
      <c r="G88" s="6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62"/>
      <c r="C89" s="62"/>
      <c r="D89" s="62"/>
      <c r="E89" s="62"/>
      <c r="F89" s="62"/>
      <c r="G89" s="6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62"/>
      <c r="C90" s="62"/>
      <c r="D90" s="62"/>
      <c r="E90" s="62"/>
      <c r="F90" s="62"/>
      <c r="G90" s="6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62"/>
      <c r="C91" s="62"/>
      <c r="D91" s="62"/>
      <c r="E91" s="62"/>
      <c r="F91" s="62"/>
      <c r="G91" s="6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62"/>
      <c r="C92" s="62"/>
      <c r="D92" s="62"/>
      <c r="E92" s="62"/>
      <c r="F92" s="62"/>
      <c r="G92" s="6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62"/>
      <c r="C93" s="62"/>
      <c r="D93" s="62"/>
      <c r="E93" s="62"/>
      <c r="F93" s="62"/>
      <c r="G93" s="6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62"/>
      <c r="C94" s="62"/>
      <c r="D94" s="62"/>
      <c r="E94" s="62"/>
      <c r="F94" s="62"/>
      <c r="G94" s="6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62"/>
      <c r="C95" s="62"/>
      <c r="D95" s="62"/>
      <c r="E95" s="62"/>
      <c r="F95" s="62"/>
      <c r="G95" s="6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62"/>
      <c r="C96" s="62"/>
      <c r="D96" s="62"/>
      <c r="E96" s="62"/>
      <c r="F96" s="62"/>
      <c r="G96" s="6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62"/>
      <c r="C97" s="62"/>
      <c r="D97" s="62"/>
      <c r="E97" s="62"/>
      <c r="F97" s="62"/>
      <c r="G97" s="6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62"/>
      <c r="C98" s="62"/>
      <c r="D98" s="62"/>
      <c r="E98" s="62"/>
      <c r="F98" s="62"/>
      <c r="G98" s="6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62"/>
      <c r="C99" s="62"/>
      <c r="D99" s="62"/>
      <c r="E99" s="62"/>
      <c r="F99" s="62"/>
      <c r="G99" s="6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62"/>
      <c r="C100" s="62"/>
      <c r="D100" s="62"/>
      <c r="E100" s="62"/>
      <c r="F100" s="62"/>
      <c r="G100" s="6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rintOptions horizontalCentered="1"/>
  <pageMargins left="0.7" right="0.7" top="0.75" bottom="0.75" header="0" footer="0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created xsi:type="dcterms:W3CDTF">2018-11-07T02:00:49Z</dcterms:created>
  <dcterms:modified xsi:type="dcterms:W3CDTF">2026-05-05T19:12:04Z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