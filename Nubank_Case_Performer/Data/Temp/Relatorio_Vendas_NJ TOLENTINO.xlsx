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vinic\Documents\UiPath\Nubank_Case_Performer\Data\Temp\"/>
    </mc:Choice>
  </mc:AlternateContent>
  <xr:revisionPtr revIDLastSave="0" documentId="13_ncr:1_{25CEB8C7-4707-44C3-BCD4-53F18EB8DE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{ID_VENDOR}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jei60nouJcBrPdOOYyczBO2nUNkw=="/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7" i="1" s="1"/>
  <c r="G30" i="1" l="1"/>
  <c r="G31" i="1" s="1"/>
  <c r="B28" i="1" s="1"/>
</calcChain>
</file>

<file path=xl/sharedStrings.xml><?xml version="1.0" encoding="utf-8"?>
<sst xmlns="http://schemas.openxmlformats.org/spreadsheetml/2006/main" count="26" uniqueCount="26">
  <si>
    <t>SALES REPORT</t>
  </si>
  <si>
    <t>ID VENDOR</t>
  </si>
  <si>
    <t>DATE</t>
  </si>
  <si>
    <t>INVOICE NUMBER / ITEM TYPE</t>
  </si>
  <si>
    <t>UNIT COST (BRL)</t>
  </si>
  <si>
    <t>QTY</t>
  </si>
  <si>
    <t>TOTAL (BRL)</t>
  </si>
  <si>
    <t>SALES  TOTAL</t>
  </si>
  <si>
    <t>SUBTOTAL</t>
  </si>
  <si>
    <t>DISCOUNT</t>
  </si>
  <si>
    <t>(TAX RATE)</t>
  </si>
  <si>
    <t>TAX</t>
  </si>
  <si>
    <t>TOTAL</t>
  </si>
  <si>
    <t>TERMS</t>
  </si>
  <si>
    <t>IT145632</t>
  </si>
  <si>
    <t>29/04/2026</t>
  </si>
  <si>
    <t>NJ TOLENTINO</t>
  </si>
  <si>
    <t>Avenida São João 250</t>
  </si>
  <si>
    <t>Centro, São Paulo - SP</t>
  </si>
  <si>
    <t>123-654-9809</t>
  </si>
  <si>
    <t>nj.tolentino@mail.com</t>
  </si>
  <si>
    <t>826833 / IT Support</t>
  </si>
  <si>
    <t>296596 / Professional Services</t>
  </si>
  <si>
    <t>349606 / Beverages and Catering</t>
  </si>
  <si>
    <t>867556 / Beverages and Catering</t>
  </si>
  <si>
    <t>Please, GENERATE INVOICES by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</si>
</sst>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_-[$R$-416]\ * #,##0.00_-;\-[$R$-416]\ * #,##0.00_-;_-[$R$-416]\ * &quot;-&quot;??_-;_-@"/>
    <numFmt numFmtId="166" formatCode="&quot;$&quot;#,##0"/>
    <numFmt numFmtId="167" formatCode="&quot;$&quot;#,##0.00"/>
  </numFmts>
  <fonts count="22">
    <font>
      <sz val="10"/>
      <color rgb="FF000000"/>
      <name val="Calibri"/>
      <scheme val="minor"/>
    </font>
    <font>
      <b/>
      <sz val="36"/>
      <color rgb="FF000000"/>
      <name val="Arial"/>
    </font>
    <font>
      <sz val="10"/>
      <name val="Calibri"/>
    </font>
    <font>
      <sz val="10"/>
      <color rgb="FF000000"/>
      <name val="Arial"/>
    </font>
    <font>
      <sz val="54"/>
      <color rgb="FF000000"/>
      <name val="Arial"/>
    </font>
    <font>
      <sz val="10"/>
      <color theme="1"/>
      <name val="Roboto"/>
    </font>
    <font>
      <b/>
      <sz val="16"/>
      <color theme="1"/>
      <name val="Arial"/>
    </font>
    <font>
      <sz val="10"/>
      <color rgb="FF666666"/>
      <name val="Roboto"/>
    </font>
    <font>
      <sz val="10"/>
      <color rgb="FF000000"/>
      <name val="Roboto"/>
    </font>
    <font>
      <b/>
      <sz val="15"/>
      <color theme="1"/>
      <name val="Arial"/>
    </font>
    <font>
      <sz val="15"/>
      <color theme="1"/>
      <name val="Arial"/>
    </font>
    <font>
      <b/>
      <sz val="10"/>
      <color theme="1"/>
      <name val="Arial"/>
    </font>
    <font>
      <sz val="29"/>
      <color rgb="FF4E535C"/>
      <name val="Arial"/>
    </font>
    <font>
      <sz val="10"/>
      <color theme="1"/>
      <name val="Arial"/>
    </font>
    <font>
      <sz val="13"/>
      <color theme="1"/>
      <name val="Roboto"/>
    </font>
    <font>
      <sz val="9"/>
      <color rgb="FF807C7D"/>
      <name val="Arial bold"/>
    </font>
    <font>
      <b/>
      <sz val="9"/>
      <color theme="1"/>
      <name val="Arial"/>
    </font>
    <font>
      <b/>
      <sz val="9"/>
      <color rgb="FF999999"/>
      <name val="Arial"/>
    </font>
    <font>
      <sz val="26"/>
      <color rgb="FF0D83DD"/>
      <name val="Arial"/>
    </font>
    <font>
      <sz val="18"/>
      <color theme="1"/>
      <name val="Roboto"/>
    </font>
    <font>
      <sz val="14"/>
      <color theme="1"/>
      <name val="Arial"/>
    </font>
    <font>
      <u/>
      <sz val="1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44546A"/>
        <bgColor rgb="FF44546A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7F7F7F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4" xfId="0" applyFont="1" applyBorder="1" applyAlignment="1">
      <alignment vertical="center"/>
    </xf>
    <xf numFmtId="0" fontId="3" fillId="0" borderId="5" xfId="0" applyFont="1" applyBorder="1"/>
    <xf numFmtId="0" fontId="6" fillId="0" borderId="0" xfId="0" applyFont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5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4" borderId="2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2" fillId="0" borderId="9" xfId="0" applyFont="1" applyBorder="1"/>
    <xf numFmtId="0" fontId="11" fillId="0" borderId="9" xfId="0" applyFont="1" applyBorder="1" applyAlignment="1">
      <alignment horizontal="left" vertical="center"/>
    </xf>
    <xf numFmtId="0" fontId="12" fillId="0" borderId="0" xfId="0" applyFont="1"/>
    <xf numFmtId="0" fontId="7" fillId="4" borderId="16" xfId="0" applyFont="1" applyFill="1" applyBorder="1" applyAlignment="1">
      <alignment vertical="center"/>
    </xf>
    <xf numFmtId="0" fontId="2" fillId="0" borderId="18" xfId="0" applyFont="1" applyBorder="1"/>
    <xf numFmtId="0" fontId="21" fillId="4" borderId="19" xfId="0" applyFont="1" applyFill="1" applyBorder="1" applyAlignment="1">
      <alignment horizontal="right" vertical="center"/>
    </xf>
    <xf numFmtId="0" fontId="13" fillId="0" borderId="10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shrinkToFit="1"/>
    </xf>
    <xf numFmtId="164" fontId="13" fillId="0" borderId="10" xfId="0" applyNumberFormat="1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165" fontId="13" fillId="0" borderId="10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shrinkToFit="1"/>
    </xf>
    <xf numFmtId="0" fontId="13" fillId="3" borderId="11" xfId="0" applyFont="1" applyFill="1" applyBorder="1" applyAlignment="1">
      <alignment horizontal="center" vertical="center" shrinkToFit="1"/>
    </xf>
    <xf numFmtId="166" fontId="13" fillId="3" borderId="11" xfId="0" applyNumberFormat="1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166" fontId="5" fillId="3" borderId="11" xfId="0" applyNumberFormat="1" applyFont="1" applyFill="1" applyBorder="1" applyAlignment="1">
      <alignment horizontal="center" vertical="center" shrinkToFit="1"/>
    </xf>
    <xf numFmtId="0" fontId="15" fillId="3" borderId="11" xfId="0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vertical="center" shrinkToFit="1"/>
    </xf>
    <xf numFmtId="167" fontId="16" fillId="3" borderId="11" xfId="0" applyNumberFormat="1" applyFont="1" applyFill="1" applyBorder="1" applyAlignment="1">
      <alignment horizontal="center" vertical="center" shrinkToFit="1"/>
    </xf>
    <xf numFmtId="167" fontId="17" fillId="3" borderId="11" xfId="0" applyNumberFormat="1" applyFont="1" applyFill="1" applyBorder="1" applyAlignment="1">
      <alignment horizontal="center" vertical="center" shrinkToFit="1"/>
    </xf>
    <xf numFmtId="165" fontId="3" fillId="3" borderId="11" xfId="0" applyNumberFormat="1" applyFont="1" applyFill="1" applyBorder="1" applyAlignment="1">
      <alignment horizontal="center" vertical="center" shrinkToFit="1"/>
    </xf>
    <xf numFmtId="165" fontId="18" fillId="3" borderId="14" xfId="0" applyNumberFormat="1" applyFont="1" applyFill="1" applyBorder="1" applyAlignment="1">
      <alignment horizontal="center" vertical="top" shrinkToFit="1"/>
    </xf>
    <xf numFmtId="0" fontId="2" fillId="0" borderId="15" xfId="0" applyFont="1" applyBorder="1" applyAlignment="1">
      <alignment horizontal="center" shrinkToFit="1"/>
    </xf>
    <xf numFmtId="9" fontId="3" fillId="3" borderId="11" xfId="0" applyNumberFormat="1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top" shrinkToFit="1"/>
    </xf>
    <xf numFmtId="0" fontId="0" fillId="0" borderId="0" xfId="0" applyFont="1" applyAlignment="1">
      <alignment horizontal="center" shrinkToFit="1"/>
    </xf>
    <xf numFmtId="0" fontId="2" fillId="0" borderId="17" xfId="0" applyFont="1" applyBorder="1" applyAlignment="1">
      <alignment horizontal="center" shrinkToFit="1"/>
    </xf>
    <xf numFmtId="0" fontId="2" fillId="0" borderId="20" xfId="0" applyFont="1" applyBorder="1" applyAlignment="1">
      <alignment horizontal="center" shrinkToFit="1"/>
    </xf>
    <xf numFmtId="0" fontId="2" fillId="0" borderId="21" xfId="0" applyFont="1" applyBorder="1" applyAlignment="1">
      <alignment horizontal="center" shrinkToFit="1"/>
    </xf>
    <xf numFmtId="0" fontId="13" fillId="4" borderId="22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400050</xdr:colOff>
      <xdr:row>4</xdr:row>
      <xdr:rowOff>38100</xdr:rowOff>
    </xdr:from>
    <xdr:ext cx="2943225" cy="3000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 summaryRight="0"/>
    <pageSetUpPr fitToPage="1"/>
  </sheetPr>
  <dimension ref="A1:Z1000"/>
  <sheetViews>
    <sheetView showGridLines="0" tabSelected="1" topLeftCell="A3" workbookViewId="0">
      <selection sqref="A1:H4"/>
    </sheetView>
  </sheetViews>
  <sheetFormatPr defaultColWidth="14.42578125" defaultRowHeight="15" customHeight="1"/>
  <cols>
    <col min="1" max="1" width="7.42578125" customWidth="1"/>
    <col min="2" max="2" width="42.7109375" bestFit="1" customWidth="1"/>
    <col min="3" max="3" width="10.42578125" bestFit="1" customWidth="1"/>
    <col min="4" max="4" width="16.5703125" bestFit="1" customWidth="1"/>
    <col min="5" max="5" width="10.140625" bestFit="1" customWidth="1"/>
    <col min="6" max="6" width="3.42578125" customWidth="1"/>
    <col min="7" max="7" width="15.85546875" bestFit="1" customWidth="1"/>
    <col min="8" max="8" width="7.140625" customWidth="1"/>
    <col min="9" max="9" width="14.42578125" hidden="1" customWidth="1"/>
    <col min="10" max="26" width="8.7109375" hidden="1" customWidth="1"/>
  </cols>
  <sheetData>
    <row r="1" spans="1:26" ht="16.5" customHeight="1">
      <c r="A1" s="26" t="s">
        <v>0</v>
      </c>
      <c r="B1" s="27"/>
      <c r="C1" s="27"/>
      <c r="D1" s="27"/>
      <c r="E1" s="27"/>
      <c r="F1" s="27"/>
      <c r="G1" s="27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9"/>
      <c r="B2" s="30"/>
      <c r="C2" s="30"/>
      <c r="D2" s="30"/>
      <c r="E2" s="30"/>
      <c r="F2" s="30"/>
      <c r="G2" s="30"/>
      <c r="H2" s="3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>
      <c r="A3" s="29"/>
      <c r="B3" s="30"/>
      <c r="C3" s="30"/>
      <c r="D3" s="30"/>
      <c r="E3" s="30"/>
      <c r="F3" s="30"/>
      <c r="G3" s="30"/>
      <c r="H3" s="3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3.5" customHeight="1">
      <c r="A4" s="32"/>
      <c r="B4" s="33"/>
      <c r="C4" s="33"/>
      <c r="D4" s="33"/>
      <c r="E4" s="33"/>
      <c r="F4" s="33"/>
      <c r="G4" s="33"/>
      <c r="H4" s="34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75" customHeight="1">
      <c r="A5" s="3"/>
      <c r="B5" s="1"/>
      <c r="C5" s="1"/>
      <c r="D5" s="1"/>
      <c r="E5" s="1"/>
      <c r="F5" s="1"/>
      <c r="G5" s="1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3"/>
      <c r="B6" s="5" t="s">
        <v>1</v>
      </c>
      <c r="C6" s="5" t="s">
        <v>2</v>
      </c>
      <c r="D6" s="6"/>
      <c r="E6" s="1"/>
      <c r="F6" s="1"/>
      <c r="G6" s="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3"/>
      <c r="B7" s="7" t="s">
        <v>14</v>
      </c>
      <c r="C7" s="7" t="s">
        <v>15</v>
      </c>
      <c r="D7" s="8"/>
      <c r="E7" s="1"/>
      <c r="F7" s="1"/>
      <c r="G7" s="1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3"/>
      <c r="B8" s="7"/>
      <c r="C8" s="9"/>
      <c r="D8" s="8"/>
      <c r="E8" s="1"/>
      <c r="F8" s="1"/>
      <c r="G8" s="1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11"/>
      <c r="B9" s="12" t="s">
        <v>16</v>
      </c>
      <c r="C9" s="6"/>
      <c r="D9" s="13"/>
      <c r="E9" s="6"/>
      <c r="F9" s="6"/>
      <c r="G9" s="6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1"/>
      <c r="B10" s="35" t="s">
        <v>17</v>
      </c>
      <c r="C10" s="30"/>
      <c r="D10" s="35"/>
      <c r="E10" s="30"/>
      <c r="F10" s="6"/>
      <c r="G10" s="6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1"/>
      <c r="B11" s="15" t="s">
        <v>18</v>
      </c>
      <c r="C11" s="6"/>
      <c r="D11" s="15"/>
      <c r="E11" s="6"/>
      <c r="F11" s="6"/>
      <c r="G11" s="6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1"/>
      <c r="B12" s="15" t="s">
        <v>19</v>
      </c>
      <c r="C12" s="6"/>
      <c r="D12" s="15"/>
      <c r="E12" s="6"/>
      <c r="F12" s="6"/>
      <c r="G12" s="6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1"/>
      <c r="B13" s="15" t="s">
        <v>20</v>
      </c>
      <c r="C13" s="6"/>
      <c r="D13" s="15"/>
      <c r="E13" s="6"/>
      <c r="F13" s="6"/>
      <c r="G13" s="6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1"/>
      <c r="B14" s="15"/>
      <c r="C14" s="6"/>
      <c r="D14" s="15"/>
      <c r="E14" s="6"/>
      <c r="F14" s="6"/>
      <c r="G14" s="6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 customHeight="1">
      <c r="A15" s="11"/>
      <c r="B15" s="1"/>
      <c r="C15" s="6"/>
      <c r="D15" s="6"/>
      <c r="E15" s="6"/>
      <c r="F15" s="6"/>
      <c r="G15" s="6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3"/>
      <c r="B16" s="36" t="s">
        <v>3</v>
      </c>
      <c r="C16" s="37"/>
      <c r="D16" s="16" t="s">
        <v>4</v>
      </c>
      <c r="E16" s="38" t="s">
        <v>5</v>
      </c>
      <c r="F16" s="37"/>
      <c r="G16" s="16" t="s">
        <v>6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" customHeight="1">
      <c r="A17" s="3"/>
      <c r="B17" s="1"/>
      <c r="C17" s="39"/>
      <c r="D17" s="30"/>
      <c r="E17" s="30"/>
      <c r="F17" s="30"/>
      <c r="G17" s="30"/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3"/>
      <c r="B18" s="43" t="s">
        <v>21</v>
      </c>
      <c r="C18" s="44"/>
      <c r="D18" s="45">
        <v>149467.75</v>
      </c>
      <c r="E18" s="46">
        <v>8</v>
      </c>
      <c r="F18" s="44"/>
      <c r="G18" s="45">
        <v>1195742.03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7"/>
      <c r="B19" s="43" t="s">
        <v>22</v>
      </c>
      <c r="C19" s="44"/>
      <c r="D19" s="47">
        <v>12277.33</v>
      </c>
      <c r="E19" s="46">
        <v>8</v>
      </c>
      <c r="F19" s="44"/>
      <c r="G19" s="45">
        <v>98218.66</v>
      </c>
      <c r="H19" s="1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3"/>
      <c r="B20" s="43" t="s">
        <v>23</v>
      </c>
      <c r="C20" s="44"/>
      <c r="D20" s="47">
        <v>1668824.22</v>
      </c>
      <c r="E20" s="46">
        <v>1</v>
      </c>
      <c r="F20" s="44"/>
      <c r="G20" s="45">
        <v>1668824.22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3"/>
      <c r="B21" s="43" t="s">
        <v>24</v>
      </c>
      <c r="C21" s="44"/>
      <c r="D21" s="47">
        <v>45333.31</v>
      </c>
      <c r="E21" s="46">
        <v>10</v>
      </c>
      <c r="F21" s="44"/>
      <c r="G21" s="45">
        <v>453333.08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3"/>
      <c r="B22" s="43"/>
      <c r="C22" s="44"/>
      <c r="D22" s="47">
        <v>0</v>
      </c>
      <c r="E22" s="46">
        <v>0</v>
      </c>
      <c r="F22" s="44"/>
      <c r="G22" s="45">
        <f t="shared" ref="G18:G25" si="0">D22*E22</f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3"/>
      <c r="B23" s="43"/>
      <c r="C23" s="44"/>
      <c r="D23" s="47">
        <v>0</v>
      </c>
      <c r="E23" s="46">
        <v>0</v>
      </c>
      <c r="F23" s="44"/>
      <c r="G23" s="45">
        <f t="shared" si="0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3"/>
      <c r="B24" s="43"/>
      <c r="C24" s="44"/>
      <c r="D24" s="47">
        <v>0</v>
      </c>
      <c r="E24" s="46">
        <v>0</v>
      </c>
      <c r="F24" s="44"/>
      <c r="G24" s="45">
        <f t="shared" si="0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3"/>
      <c r="B25" s="43"/>
      <c r="C25" s="44"/>
      <c r="D25" s="47">
        <v>0</v>
      </c>
      <c r="E25" s="46">
        <v>0</v>
      </c>
      <c r="F25" s="44"/>
      <c r="G25" s="45">
        <f t="shared" si="0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>
      <c r="A26" s="3"/>
      <c r="B26" s="48"/>
      <c r="C26" s="49"/>
      <c r="D26" s="50"/>
      <c r="E26" s="51"/>
      <c r="F26" s="51"/>
      <c r="G26" s="52"/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9"/>
      <c r="B27" s="53" t="s">
        <v>7</v>
      </c>
      <c r="C27" s="54"/>
      <c r="D27" s="54"/>
      <c r="E27" s="55" t="s">
        <v>8</v>
      </c>
      <c r="F27" s="56"/>
      <c r="G27" s="57">
        <f>SUM(G18:G25)</f>
        <v>3416117.99</v>
      </c>
      <c r="H27" s="2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9"/>
      <c r="B28" s="58">
        <f>G31</f>
        <v>3228231.4995000004</v>
      </c>
      <c r="C28" s="54"/>
      <c r="D28" s="54"/>
      <c r="E28" s="55" t="s">
        <v>9</v>
      </c>
      <c r="F28" s="56"/>
      <c r="G28" s="57">
        <v>341611.8</v>
      </c>
      <c r="H28" s="2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9"/>
      <c r="B29" s="59"/>
      <c r="C29" s="54"/>
      <c r="D29" s="54"/>
      <c r="E29" s="55" t="s">
        <v>10</v>
      </c>
      <c r="F29" s="56"/>
      <c r="G29" s="60">
        <v>0.05</v>
      </c>
      <c r="H29" s="2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9"/>
      <c r="B30" s="61"/>
      <c r="C30" s="54"/>
      <c r="D30" s="54"/>
      <c r="E30" s="55" t="s">
        <v>11</v>
      </c>
      <c r="F30" s="56"/>
      <c r="G30" s="57">
        <f>(G27-G28)*G29</f>
        <v>153725.30950000003</v>
      </c>
      <c r="H30" s="2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9"/>
      <c r="B31" s="61"/>
      <c r="C31" s="54"/>
      <c r="D31" s="54"/>
      <c r="E31" s="55" t="s">
        <v>12</v>
      </c>
      <c r="F31" s="56"/>
      <c r="G31" s="57">
        <f>G27-G28+G30</f>
        <v>3228231.4995000004</v>
      </c>
      <c r="H31" s="2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hidden="1" customHeight="1">
      <c r="A32" s="3"/>
      <c r="B32" s="62"/>
      <c r="C32" s="62"/>
      <c r="D32" s="62"/>
      <c r="E32" s="62"/>
      <c r="F32" s="62"/>
      <c r="G32" s="62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3" customHeight="1">
      <c r="A33" s="21"/>
      <c r="B33" s="62"/>
      <c r="C33" s="62"/>
      <c r="D33" s="62"/>
      <c r="E33" s="62"/>
      <c r="F33" s="62"/>
      <c r="G33" s="62"/>
      <c r="H33" s="2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23"/>
      <c r="B34" s="63" t="s">
        <v>13</v>
      </c>
      <c r="C34" s="62"/>
      <c r="D34" s="62"/>
      <c r="E34" s="62"/>
      <c r="F34" s="62"/>
      <c r="G34" s="62"/>
      <c r="H34" s="2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23"/>
      <c r="B35" s="64" t="s">
        <v>25</v>
      </c>
      <c r="C35" s="65"/>
      <c r="D35" s="62"/>
      <c r="E35" s="62"/>
      <c r="F35" s="62"/>
      <c r="G35" s="62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23"/>
      <c r="B36" s="65"/>
      <c r="C36" s="65"/>
      <c r="D36" s="62"/>
      <c r="E36" s="62"/>
      <c r="F36" s="62"/>
      <c r="G36" s="62"/>
      <c r="H36" s="2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>
      <c r="A37" s="23"/>
      <c r="B37" s="62"/>
      <c r="C37" s="62"/>
      <c r="D37" s="62"/>
      <c r="E37" s="62"/>
      <c r="F37" s="62"/>
      <c r="G37" s="62"/>
      <c r="H37" s="2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>
      <c r="A38" s="40"/>
      <c r="B38" s="66"/>
      <c r="C38" s="66"/>
      <c r="D38" s="66"/>
      <c r="E38" s="66"/>
      <c r="F38" s="66"/>
      <c r="G38" s="66"/>
      <c r="H38" s="4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42"/>
      <c r="B39" s="67"/>
      <c r="C39" s="67"/>
      <c r="D39" s="67"/>
      <c r="E39" s="68"/>
      <c r="F39" s="69"/>
      <c r="G39" s="69"/>
      <c r="H39" s="2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>
      <c r="A40" s="1"/>
      <c r="B40" s="62"/>
      <c r="C40" s="62"/>
      <c r="D40" s="62"/>
      <c r="E40" s="62"/>
      <c r="F40" s="62"/>
      <c r="G40" s="6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>
      <c r="A41" s="1"/>
      <c r="B41" s="62"/>
      <c r="C41" s="62"/>
      <c r="D41" s="62"/>
      <c r="E41" s="62"/>
      <c r="F41" s="62"/>
      <c r="G41" s="6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>
      <c r="A42" s="1"/>
      <c r="B42" s="62"/>
      <c r="C42" s="62"/>
      <c r="D42" s="62"/>
      <c r="E42" s="62"/>
      <c r="F42" s="62"/>
      <c r="G42" s="6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>
      <c r="A43" s="1"/>
      <c r="B43" s="62"/>
      <c r="C43" s="62"/>
      <c r="D43" s="62"/>
      <c r="E43" s="62"/>
      <c r="F43" s="62"/>
      <c r="G43" s="6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>
      <c r="A44" s="1"/>
      <c r="B44" s="62"/>
      <c r="C44" s="62"/>
      <c r="D44" s="62"/>
      <c r="E44" s="62"/>
      <c r="F44" s="62"/>
      <c r="G44" s="6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>
      <c r="A45" s="1"/>
      <c r="B45" s="62"/>
      <c r="C45" s="62"/>
      <c r="D45" s="62"/>
      <c r="E45" s="62"/>
      <c r="F45" s="62"/>
      <c r="G45" s="6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hidden="1" customHeight="1">
      <c r="A46" s="1"/>
      <c r="B46" s="62"/>
      <c r="C46" s="62"/>
      <c r="D46" s="62"/>
      <c r="E46" s="62"/>
      <c r="F46" s="62"/>
      <c r="G46" s="6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hidden="1" customHeight="1">
      <c r="A47" s="1"/>
      <c r="B47" s="62"/>
      <c r="C47" s="62"/>
      <c r="D47" s="62"/>
      <c r="E47" s="62"/>
      <c r="F47" s="62"/>
      <c r="G47" s="6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hidden="1" customHeight="1">
      <c r="A48" s="1"/>
      <c r="B48" s="62"/>
      <c r="C48" s="62"/>
      <c r="D48" s="62"/>
      <c r="E48" s="62"/>
      <c r="F48" s="62"/>
      <c r="G48" s="6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hidden="1" customHeight="1">
      <c r="A49" s="1"/>
      <c r="B49" s="62"/>
      <c r="C49" s="62"/>
      <c r="D49" s="62"/>
      <c r="E49" s="62"/>
      <c r="F49" s="62"/>
      <c r="G49" s="6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hidden="1" customHeight="1">
      <c r="A50" s="1"/>
      <c r="B50" s="62"/>
      <c r="C50" s="62"/>
      <c r="D50" s="62"/>
      <c r="E50" s="62"/>
      <c r="F50" s="62"/>
      <c r="G50" s="6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>
      <c r="A51" s="1"/>
      <c r="B51" s="62"/>
      <c r="C51" s="62"/>
      <c r="D51" s="62"/>
      <c r="E51" s="62"/>
      <c r="F51" s="62"/>
      <c r="G51" s="6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>
      <c r="A52" s="1"/>
      <c r="B52" s="62"/>
      <c r="C52" s="62"/>
      <c r="D52" s="62"/>
      <c r="E52" s="62"/>
      <c r="F52" s="62"/>
      <c r="G52" s="6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>
      <c r="A53" s="1"/>
      <c r="B53" s="62"/>
      <c r="C53" s="62"/>
      <c r="D53" s="62"/>
      <c r="E53" s="62"/>
      <c r="F53" s="62"/>
      <c r="G53" s="6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>
      <c r="A54" s="1"/>
      <c r="B54" s="62"/>
      <c r="C54" s="62"/>
      <c r="D54" s="62"/>
      <c r="E54" s="62"/>
      <c r="F54" s="62"/>
      <c r="G54" s="6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>
      <c r="A55" s="1"/>
      <c r="B55" s="62"/>
      <c r="C55" s="62"/>
      <c r="D55" s="62"/>
      <c r="E55" s="62"/>
      <c r="F55" s="62"/>
      <c r="G55" s="6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1"/>
      <c r="B56" s="62"/>
      <c r="C56" s="62"/>
      <c r="D56" s="62"/>
      <c r="E56" s="62"/>
      <c r="F56" s="62"/>
      <c r="G56" s="6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1"/>
      <c r="B57" s="62"/>
      <c r="C57" s="62"/>
      <c r="D57" s="62"/>
      <c r="E57" s="62"/>
      <c r="F57" s="62"/>
      <c r="G57" s="6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1"/>
      <c r="B58" s="62"/>
      <c r="C58" s="62"/>
      <c r="D58" s="62"/>
      <c r="E58" s="62"/>
      <c r="F58" s="62"/>
      <c r="G58" s="6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1"/>
      <c r="B59" s="62"/>
      <c r="C59" s="62"/>
      <c r="D59" s="62"/>
      <c r="E59" s="62"/>
      <c r="F59" s="62"/>
      <c r="G59" s="6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1"/>
      <c r="B60" s="62"/>
      <c r="C60" s="62"/>
      <c r="D60" s="62"/>
      <c r="E60" s="62"/>
      <c r="F60" s="62"/>
      <c r="G60" s="6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1"/>
      <c r="B61" s="62"/>
      <c r="C61" s="62"/>
      <c r="D61" s="62"/>
      <c r="E61" s="62"/>
      <c r="F61" s="62"/>
      <c r="G61" s="6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1"/>
      <c r="B62" s="62"/>
      <c r="C62" s="62"/>
      <c r="D62" s="62"/>
      <c r="E62" s="62"/>
      <c r="F62" s="62"/>
      <c r="G62" s="6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1"/>
      <c r="B63" s="62"/>
      <c r="C63" s="62"/>
      <c r="D63" s="62"/>
      <c r="E63" s="62"/>
      <c r="F63" s="62"/>
      <c r="G63" s="6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1"/>
      <c r="B64" s="62"/>
      <c r="C64" s="62"/>
      <c r="D64" s="62"/>
      <c r="E64" s="62"/>
      <c r="F64" s="62"/>
      <c r="G64" s="6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1"/>
      <c r="B65" s="62"/>
      <c r="C65" s="62"/>
      <c r="D65" s="62"/>
      <c r="E65" s="62"/>
      <c r="F65" s="62"/>
      <c r="G65" s="6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1"/>
      <c r="B66" s="62"/>
      <c r="C66" s="62"/>
      <c r="D66" s="62"/>
      <c r="E66" s="62"/>
      <c r="F66" s="62"/>
      <c r="G66" s="6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1"/>
      <c r="B67" s="62"/>
      <c r="C67" s="62"/>
      <c r="D67" s="62"/>
      <c r="E67" s="62"/>
      <c r="F67" s="62"/>
      <c r="G67" s="6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1"/>
      <c r="B68" s="62"/>
      <c r="C68" s="62"/>
      <c r="D68" s="62"/>
      <c r="E68" s="62"/>
      <c r="F68" s="62"/>
      <c r="G68" s="6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1"/>
      <c r="B69" s="62"/>
      <c r="C69" s="62"/>
      <c r="D69" s="62"/>
      <c r="E69" s="62"/>
      <c r="F69" s="62"/>
      <c r="G69" s="6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1"/>
      <c r="B70" s="62"/>
      <c r="C70" s="62"/>
      <c r="D70" s="62"/>
      <c r="E70" s="62"/>
      <c r="F70" s="62"/>
      <c r="G70" s="6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1"/>
      <c r="B71" s="62"/>
      <c r="C71" s="62"/>
      <c r="D71" s="62"/>
      <c r="E71" s="62"/>
      <c r="F71" s="62"/>
      <c r="G71" s="6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1"/>
      <c r="B72" s="62"/>
      <c r="C72" s="62"/>
      <c r="D72" s="62"/>
      <c r="E72" s="62"/>
      <c r="F72" s="62"/>
      <c r="G72" s="6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1"/>
      <c r="B73" s="62"/>
      <c r="C73" s="62"/>
      <c r="D73" s="62"/>
      <c r="E73" s="62"/>
      <c r="F73" s="62"/>
      <c r="G73" s="6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1"/>
      <c r="B74" s="62"/>
      <c r="C74" s="62"/>
      <c r="D74" s="62"/>
      <c r="E74" s="62"/>
      <c r="F74" s="62"/>
      <c r="G74" s="6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1"/>
      <c r="B75" s="62"/>
      <c r="C75" s="62"/>
      <c r="D75" s="62"/>
      <c r="E75" s="62"/>
      <c r="F75" s="62"/>
      <c r="G75" s="6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1"/>
      <c r="B76" s="62"/>
      <c r="C76" s="62"/>
      <c r="D76" s="62"/>
      <c r="E76" s="62"/>
      <c r="F76" s="62"/>
      <c r="G76" s="6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1"/>
      <c r="B77" s="62"/>
      <c r="C77" s="62"/>
      <c r="D77" s="62"/>
      <c r="E77" s="62"/>
      <c r="F77" s="62"/>
      <c r="G77" s="6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1"/>
      <c r="B78" s="62"/>
      <c r="C78" s="62"/>
      <c r="D78" s="62"/>
      <c r="E78" s="62"/>
      <c r="F78" s="62"/>
      <c r="G78" s="6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1"/>
      <c r="B79" s="62"/>
      <c r="C79" s="62"/>
      <c r="D79" s="62"/>
      <c r="E79" s="62"/>
      <c r="F79" s="62"/>
      <c r="G79" s="6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1"/>
      <c r="B80" s="62"/>
      <c r="C80" s="62"/>
      <c r="D80" s="62"/>
      <c r="E80" s="62"/>
      <c r="F80" s="62"/>
      <c r="G80" s="6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1"/>
      <c r="B81" s="62"/>
      <c r="C81" s="62"/>
      <c r="D81" s="62"/>
      <c r="E81" s="62"/>
      <c r="F81" s="62"/>
      <c r="G81" s="6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1"/>
      <c r="B82" s="62"/>
      <c r="C82" s="62"/>
      <c r="D82" s="62"/>
      <c r="E82" s="62"/>
      <c r="F82" s="62"/>
      <c r="G82" s="6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1"/>
      <c r="B83" s="62"/>
      <c r="C83" s="62"/>
      <c r="D83" s="62"/>
      <c r="E83" s="62"/>
      <c r="F83" s="62"/>
      <c r="G83" s="6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1"/>
      <c r="B84" s="62"/>
      <c r="C84" s="62"/>
      <c r="D84" s="62"/>
      <c r="E84" s="62"/>
      <c r="F84" s="62"/>
      <c r="G84" s="6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1"/>
      <c r="B85" s="62"/>
      <c r="C85" s="62"/>
      <c r="D85" s="62"/>
      <c r="E85" s="62"/>
      <c r="F85" s="62"/>
      <c r="G85" s="6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1"/>
      <c r="B86" s="62"/>
      <c r="C86" s="62"/>
      <c r="D86" s="62"/>
      <c r="E86" s="62"/>
      <c r="F86" s="62"/>
      <c r="G86" s="6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1"/>
      <c r="B87" s="62"/>
      <c r="C87" s="62"/>
      <c r="D87" s="62"/>
      <c r="E87" s="62"/>
      <c r="F87" s="62"/>
      <c r="G87" s="6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1"/>
      <c r="B88" s="62"/>
      <c r="C88" s="62"/>
      <c r="D88" s="62"/>
      <c r="E88" s="62"/>
      <c r="F88" s="62"/>
      <c r="G88" s="6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1"/>
      <c r="B89" s="62"/>
      <c r="C89" s="62"/>
      <c r="D89" s="62"/>
      <c r="E89" s="62"/>
      <c r="F89" s="62"/>
      <c r="G89" s="6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1"/>
      <c r="B90" s="62"/>
      <c r="C90" s="62"/>
      <c r="D90" s="62"/>
      <c r="E90" s="62"/>
      <c r="F90" s="62"/>
      <c r="G90" s="6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1"/>
      <c r="B91" s="62"/>
      <c r="C91" s="62"/>
      <c r="D91" s="62"/>
      <c r="E91" s="62"/>
      <c r="F91" s="62"/>
      <c r="G91" s="6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1"/>
      <c r="B92" s="62"/>
      <c r="C92" s="62"/>
      <c r="D92" s="62"/>
      <c r="E92" s="62"/>
      <c r="F92" s="62"/>
      <c r="G92" s="6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1"/>
      <c r="B93" s="62"/>
      <c r="C93" s="62"/>
      <c r="D93" s="62"/>
      <c r="E93" s="62"/>
      <c r="F93" s="62"/>
      <c r="G93" s="6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1"/>
      <c r="B94" s="62"/>
      <c r="C94" s="62"/>
      <c r="D94" s="62"/>
      <c r="E94" s="62"/>
      <c r="F94" s="62"/>
      <c r="G94" s="6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1"/>
      <c r="B95" s="62"/>
      <c r="C95" s="62"/>
      <c r="D95" s="62"/>
      <c r="E95" s="62"/>
      <c r="F95" s="62"/>
      <c r="G95" s="6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1"/>
      <c r="B96" s="62"/>
      <c r="C96" s="62"/>
      <c r="D96" s="62"/>
      <c r="E96" s="62"/>
      <c r="F96" s="62"/>
      <c r="G96" s="6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1"/>
      <c r="B97" s="62"/>
      <c r="C97" s="62"/>
      <c r="D97" s="62"/>
      <c r="E97" s="62"/>
      <c r="F97" s="62"/>
      <c r="G97" s="6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1"/>
      <c r="B98" s="62"/>
      <c r="C98" s="62"/>
      <c r="D98" s="62"/>
      <c r="E98" s="62"/>
      <c r="F98" s="62"/>
      <c r="G98" s="6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1"/>
      <c r="B99" s="62"/>
      <c r="C99" s="62"/>
      <c r="D99" s="62"/>
      <c r="E99" s="62"/>
      <c r="F99" s="62"/>
      <c r="G99" s="6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1"/>
      <c r="B100" s="62"/>
      <c r="C100" s="62"/>
      <c r="D100" s="62"/>
      <c r="E100" s="62"/>
      <c r="F100" s="62"/>
      <c r="G100" s="6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hidden="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hidden="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hidden="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hidden="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hidden="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hidden="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hidden="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hidden="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hidden="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hidden="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hidden="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hidden="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hidden="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hidden="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hidden="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hidden="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hidden="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hidden="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hidden="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hidden="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hidden="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hidden="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hidden="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hidden="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hidden="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hidden="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hidden="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hidden="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hidden="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hidden="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hidden="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hidden="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hidden="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hidden="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hidden="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hidden="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hidden="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hidden="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hidden="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hidden="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hidden="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hidden="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hidden="1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35:C36"/>
    <mergeCell ref="A38:H38"/>
    <mergeCell ref="A39:E39"/>
    <mergeCell ref="B23:C23"/>
    <mergeCell ref="E23:F23"/>
    <mergeCell ref="B24:C24"/>
    <mergeCell ref="E24:F24"/>
    <mergeCell ref="B25:C25"/>
    <mergeCell ref="E25:F25"/>
    <mergeCell ref="B28:B29"/>
    <mergeCell ref="C17:G17"/>
    <mergeCell ref="E18:F18"/>
    <mergeCell ref="E21:F21"/>
    <mergeCell ref="E22:F22"/>
    <mergeCell ref="B18:C18"/>
    <mergeCell ref="B19:C19"/>
    <mergeCell ref="E19:F19"/>
    <mergeCell ref="B20:C20"/>
    <mergeCell ref="E20:F20"/>
    <mergeCell ref="B21:C21"/>
    <mergeCell ref="B22:C22"/>
    <mergeCell ref="A1:H4"/>
    <mergeCell ref="B10:C10"/>
    <mergeCell ref="D10:E10"/>
    <mergeCell ref="B16:C16"/>
    <mergeCell ref="E16:F16"/>
  </mergeCells>
  <printOptions horizontalCentered="1"/>
  <pageMargins left="0.7" right="0.7" top="0.75" bottom="0.75" header="0" footer="0"/>
  <pageSetup paperSize="9"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{ID_VENDOR}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Vinícius Stevan</cp:lastModifiedBy>
  <dcterms:created xsi:type="dcterms:W3CDTF">2018-11-07T02:00:49Z</dcterms:created>
  <dcterms:modified xsi:type="dcterms:W3CDTF">2026-04-30T02:40:47Z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0x0101005476D7C5714E6648B7C8A2FA26E839C8</vt:lpwstr>
  </property>
</Properties>
</file>